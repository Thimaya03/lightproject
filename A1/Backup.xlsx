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himayadassanayake/Documents/Data Nar &amp; Visu/"/>
    </mc:Choice>
  </mc:AlternateContent>
  <xr:revisionPtr revIDLastSave="0" documentId="13_ncr:1_{3A15D2D4-216D-014E-906A-4B5973EEB23B}" xr6:coauthVersionLast="47" xr6:coauthVersionMax="47" xr10:uidLastSave="{00000000-0000-0000-0000-000000000000}"/>
  <bookViews>
    <workbookView xWindow="1100" yWindow="820" windowWidth="28040" windowHeight="17440" xr2:uid="{94961C5A-2692-1140-96CF-003F62ADC5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a="1"/>
  <c r="A10" i="1" s="1"/>
  <c r="A4" i="1" a="1"/>
  <c r="A4"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<sst xmlns="http://schemas.openxmlformats.org/spreadsheetml/2006/main" count="13" uniqueCount="13">
  <si>
    <t>IFL</t>
  </si>
  <si>
    <t>Insignia Financial</t>
  </si>
  <si>
    <t>$3.10B</t>
  </si>
  <si>
    <t>1H26 Results Presentation</t>
  </si>
  <si>
    <t>https://www.insigniafinancial.com.au/content/dam/ifl/docs/ifl-1h26-results-investor-presentation.pdf</t>
  </si>
  <si>
    <t>19/02/2026</t>
  </si>
  <si>
    <t>P/E</t>
  </si>
  <si>
    <t>Financials - Financial Services</t>
  </si>
  <si>
    <t>S&amp;P/ASX 200 Financials - XFJ</t>
  </si>
  <si>
    <t>21.6x average for 1 year (https://simplywall.st/markets/au/financials)</t>
  </si>
  <si>
    <t>Justification: A cluster layout was used to compare price line plots with normalized bar sparklines, making it easier to understand how the stock behaved around the announcement day. The green plots represent Insignia Financials’ trends, while the red plots represent the Financials sector index (XFJ).</t>
  </si>
  <si>
    <t>Normalized bar sparklines were used to reduce market noise by putting both the stock and index on the same scale. This shows percentage changes and makes it easier to observe when changes occurred across the given window.</t>
  </si>
  <si>
    <t>From the visuals, both the stock and the index show a gradual increase from T−5 leading up to the results day, suggesting that early price movements were influenced by external conditions. However, after the results day, the index begins to slightly decline while the stock continues to increase. This indicates that although external market factors influenced performance before the announcement, internal factors played a more significant role in driving Insignia Financials’ price increase after the results release. This conclusion can be further supported by looking at the P/E values, as the company’s results-day P/E of 27.8× is higher than the sector average of 21.6×, indicating stronger investor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</si>
</sst>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b/>
      <sz val="10"/>
      <color theme="1"/>
      <name val="Arial"/>
      <family val="2"/>
    </font>
    <font>
      <u/>
      <sz val="12"/>
      <color theme="10"/>
      <name val="Aptos Narrow"/>
      <family val="2"/>
      <scheme val="minor"/>
    </font>
    <font>
      <u/>
      <sz val="10"/>
      <color rgb="FF3C78D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4"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insigniafinancial.com.au/content/dam/ifl/docs/ifl-1h26-results-investor-presentation.pdf" TargetMode="External"/><Relationship Id="rId1" Type="http://schemas.openxmlformats.org/officeDocument/2006/relationships/hyperlink" Target="https://www.marketindex.com.au/asx/if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4FB4-7600-5E41-B287-53FD92BD2A3A}">
  <dimension ref="A2:AE16"/>
  <sheetViews>
    <sheetView tabSelected="1" topLeftCell="W1" workbookViewId="0">
      <selection activeCell="AE22" sqref="AE22"/>
    </sheetView>
  </sheetViews>
  <sheetFormatPr baseColWidth="10" defaultRowHeight="16" x14ac:dyDescent="0.2"/>
  <sheetData>
    <row r="2" spans="1:31" x14ac:dyDescent="0.2">
      <c r="A2" s="1">
        <v>4.625</v>
      </c>
      <c r="B2" s="1">
        <v>4.58</v>
      </c>
      <c r="C2" s="1">
        <v>4.5999999999999996</v>
      </c>
      <c r="D2" s="1">
        <v>4.5999999999999996</v>
      </c>
      <c r="E2" s="1">
        <v>4.6050000000000004</v>
      </c>
      <c r="F2" s="2">
        <v>4.6500000000000004</v>
      </c>
      <c r="G2" s="1">
        <v>4.6500000000000004</v>
      </c>
      <c r="H2" s="1">
        <v>4.66</v>
      </c>
      <c r="I2" s="1">
        <v>4.67</v>
      </c>
      <c r="J2" s="1">
        <v>4.68</v>
      </c>
      <c r="K2" s="1">
        <v>4.7</v>
      </c>
    </row>
    <row r="4" spans="1:31" x14ac:dyDescent="0.2">
      <c r="A4" cm="1">
        <f t="array" ref="A4:K4" xml:space="preserve"> A2:K2/$A2*100</f>
        <v>100</v>
      </c>
      <c r="B4">
        <v>99.027027027027032</v>
      </c>
      <c r="C4">
        <v>99.459459459459453</v>
      </c>
      <c r="D4">
        <v>99.459459459459453</v>
      </c>
      <c r="E4">
        <v>99.567567567567579</v>
      </c>
      <c r="F4">
        <v>100.54054054054056</v>
      </c>
      <c r="G4">
        <v>100.54054054054056</v>
      </c>
      <c r="H4">
        <v>100.75675675675674</v>
      </c>
      <c r="I4">
        <v>100.97297297297297</v>
      </c>
      <c r="J4">
        <v>101.18918918918918</v>
      </c>
      <c r="K4">
        <v>101.62162162162163</v>
      </c>
    </row>
    <row r="8" spans="1:31" x14ac:dyDescent="0.2">
      <c r="A8">
        <v>9893.7000000000007</v>
      </c>
      <c r="B8">
        <v>9810.5</v>
      </c>
      <c r="C8">
        <v>9782.6</v>
      </c>
      <c r="D8">
        <v>9804.5</v>
      </c>
      <c r="E8">
        <v>9867.4</v>
      </c>
      <c r="F8">
        <v>10009.700000000001</v>
      </c>
      <c r="G8">
        <v>10081.6</v>
      </c>
      <c r="H8">
        <v>9960.7999999999993</v>
      </c>
      <c r="I8">
        <v>9929.1</v>
      </c>
      <c r="J8">
        <v>9986.5</v>
      </c>
      <c r="K8">
        <v>9981.5</v>
      </c>
    </row>
    <row r="10" spans="1:31" x14ac:dyDescent="0.2">
      <c r="A10" cm="1">
        <f t="array" ref="A10:K10">A8:K8/$A8*100</f>
        <v>100</v>
      </c>
      <c r="B10">
        <v>99.159060816479155</v>
      </c>
      <c r="C10">
        <v>98.877063181620628</v>
      </c>
      <c r="D10">
        <v>99.098416163821412</v>
      </c>
      <c r="E10">
        <v>99.734174272516839</v>
      </c>
      <c r="F10">
        <v>101.17246328471654</v>
      </c>
      <c r="G10">
        <v>101.8991883723986</v>
      </c>
      <c r="H10">
        <v>100.67820936555584</v>
      </c>
      <c r="I10">
        <v>100.35780345068073</v>
      </c>
      <c r="J10">
        <v>100.93797062777324</v>
      </c>
      <c r="K10">
        <v>100.8874334172251</v>
      </c>
    </row>
    <row r="14" spans="1:31" x14ac:dyDescent="0.2">
      <c r="A14" s="1">
        <v>144</v>
      </c>
      <c r="B14" s="3" t="s">
        <v>0</v>
      </c>
      <c r="C14" s="4" t="s">
        <v>1</v>
      </c>
      <c r="D14" s="1" t="s">
        <v>2</v>
      </c>
      <c r="E14" s="1"/>
      <c r="F14" s="1" t="s">
        <v>3</v>
      </c>
      <c r="G14" s="4" t="s">
        <v>4</v>
      </c>
      <c r="H14" s="1" t="s">
        <v>5</v>
      </c>
      <c r="I14" s="1">
        <v>4.625</v>
      </c>
      <c r="J14" s="1">
        <v>4.59</v>
      </c>
      <c r="K14" s="1">
        <v>4.5999999999999996</v>
      </c>
      <c r="L14" s="1">
        <v>4.5999999999999996</v>
      </c>
      <c r="M14" s="1">
        <v>4.6050000000000004</v>
      </c>
      <c r="N14" s="2">
        <v>4.6500000000000004</v>
      </c>
      <c r="O14" s="1">
        <v>4.6500000000000004</v>
      </c>
      <c r="P14" s="1">
        <v>4.66</v>
      </c>
      <c r="Q14" s="1">
        <v>4.67</v>
      </c>
      <c r="R14" s="1">
        <v>4.68</v>
      </c>
      <c r="S14" s="1">
        <v>4.7</v>
      </c>
      <c r="T14" s="1">
        <v>4.57</v>
      </c>
      <c r="U14" s="1">
        <v>0.11799999999999999</v>
      </c>
      <c r="V14" s="1">
        <v>27.8</v>
      </c>
      <c r="W14" s="1" t="s">
        <v>6</v>
      </c>
      <c r="X14" s="1" t="s">
        <v>7</v>
      </c>
      <c r="Y14" s="1" t="s">
        <v>8</v>
      </c>
      <c r="Z14" s="1" t="s">
        <v>9</v>
      </c>
      <c r="AA14" s="1"/>
      <c r="AB14" s="1"/>
      <c r="AC14" s="1"/>
      <c r="AD14" s="1"/>
      <c r="AE14" s="1" t="s">
        <v>10</v>
      </c>
    </row>
    <row r="15" spans="1:31" x14ac:dyDescent="0.2">
      <c r="AE15" s="1" t="s">
        <v>11</v>
      </c>
    </row>
    <row r="16" spans="1:31" x14ac:dyDescent="0.2">
      <c r="AE16" s="1" t="s">
        <v>12</v>
      </c>
    </row>
  </sheetData>
  <hyperlinks>
    <hyperlink ref="C14" r:id="rId1" display="https://www.marketindex.com.au/asx/ifl" xr:uid="{62F3BA73-96D6-DB46-95AD-71167B8D1A41}"/>
    <hyperlink ref="G14" r:id="rId2" xr:uid="{07B35C74-8E10-6B4D-9193-857CAF83DE3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Thimaya Dassanayake</dc:creator>
  <cp:lastModifiedBy>Thimaya Dassanayake</cp:lastModifiedBy>
  <dcterms:created xsi:type="dcterms:W3CDTF">2026-03-02T09:50:13Z</dcterms:created>
  <dcterms:modified xsi:type="dcterms:W3CDTF">2026-03-02T13:40:35Z</dcterms:modified>
</cp:coreProperties>
</file>